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Hợp" sheetId="1" state="visible" r:id="rId1"/>
    <sheet name="1AP-SC4" sheetId="2" state="visible" r:id="rId2"/>
    <sheet name="1AP-SC3" sheetId="3" state="visible" r:id="rId3"/>
    <sheet name="1AP-SC2" sheetId="4" state="visible" r:id="rId4"/>
    <sheet name="1AP-SC1" sheetId="5" state="visible" r:id="rId5"/>
    <sheet name="1AP-SC6" sheetId="6" state="visible" r:id="rId6"/>
    <sheet name="1AP-SC5" sheetId="7" state="visible" r:id="rId7"/>
    <sheet name="2AP-SC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C00000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0" borderId="0" pivotButton="0" quotePrefix="0" xfId="0"/>
    <xf numFmtId="0" fontId="1" fillId="4" borderId="1" pivotButton="0" quotePrefix="0" xfId="0"/>
    <xf numFmtId="0" fontId="1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3" fontId="1" fillId="2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30" customWidth="1" min="4" max="4"/>
  </cols>
  <sheetData>
    <row r="1">
      <c r="A1" s="1" t="inlineStr">
        <is>
          <t>STT</t>
        </is>
      </c>
      <c r="B1" s="1" t="inlineStr">
        <is>
          <t>Tên Tủ</t>
        </is>
      </c>
      <c r="C1" s="1" t="inlineStr">
        <is>
          <t>Số CB</t>
        </is>
      </c>
      <c r="D1" s="1" t="inlineStr">
        <is>
          <t>Tổng Giá mua thực (CK 30%)</t>
        </is>
      </c>
    </row>
    <row r="2">
      <c r="A2" s="2" t="n">
        <v>1</v>
      </c>
      <c r="B2" s="2" t="inlineStr">
        <is>
          <t>1AP-SC4</t>
        </is>
      </c>
      <c r="C2" s="2" t="n">
        <v>2</v>
      </c>
      <c r="D2" s="2">
        <f>'1AP-SC4'!I10</f>
        <v/>
      </c>
    </row>
    <row r="3">
      <c r="A3" s="2" t="n">
        <v>2</v>
      </c>
      <c r="B3" s="2" t="inlineStr">
        <is>
          <t>1AP-SC3</t>
        </is>
      </c>
      <c r="C3" s="2" t="n">
        <v>4</v>
      </c>
      <c r="D3" s="2">
        <f>'1AP-SC3'!I12</f>
        <v/>
      </c>
    </row>
    <row r="4">
      <c r="A4" s="2" t="n">
        <v>3</v>
      </c>
      <c r="B4" s="2" t="inlineStr">
        <is>
          <t>1AP-SC2</t>
        </is>
      </c>
      <c r="C4" s="2" t="n">
        <v>20</v>
      </c>
      <c r="D4" s="2">
        <f>'1AP-SC2'!I28</f>
        <v/>
      </c>
    </row>
    <row r="5">
      <c r="A5" s="2" t="n">
        <v>4</v>
      </c>
      <c r="B5" s="2" t="inlineStr">
        <is>
          <t>1AP-SC1</t>
        </is>
      </c>
      <c r="C5" s="2" t="n">
        <v>5</v>
      </c>
      <c r="D5" s="2">
        <f>'1AP-SC1'!I13</f>
        <v/>
      </c>
    </row>
    <row r="6">
      <c r="A6" s="2" t="n">
        <v>5</v>
      </c>
      <c r="B6" s="2" t="inlineStr">
        <is>
          <t>1AP-SC6</t>
        </is>
      </c>
      <c r="C6" s="2" t="n">
        <v>2</v>
      </c>
      <c r="D6" s="2">
        <f>'1AP-SC6'!I10</f>
        <v/>
      </c>
    </row>
    <row r="7">
      <c r="A7" s="2" t="n">
        <v>6</v>
      </c>
      <c r="B7" s="2" t="inlineStr">
        <is>
          <t>1AP-SC5</t>
        </is>
      </c>
      <c r="C7" s="2" t="n">
        <v>2</v>
      </c>
      <c r="D7" s="2">
        <f>'1AP-SC5'!I10</f>
        <v/>
      </c>
    </row>
    <row r="8">
      <c r="A8" s="2" t="n">
        <v>7</v>
      </c>
      <c r="B8" s="2" t="inlineStr">
        <is>
          <t>2AP-SC1</t>
        </is>
      </c>
      <c r="C8" s="2" t="n">
        <v>3</v>
      </c>
      <c r="D8" s="2">
        <f>'2AP-SC1'!I11</f>
        <v/>
      </c>
    </row>
    <row r="9">
      <c r="B9" s="3" t="inlineStr">
        <is>
          <t>TỔNG CỘNG</t>
        </is>
      </c>
      <c r="D9" s="4">
        <f>D2+D3+D4+D5+D6+D7+D8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25" customWidth="1" min="3" max="3"/>
    <col width="18" customWidth="1" min="4" max="4"/>
    <col width="16" customWidth="1" min="5" max="5"/>
    <col width="10" customWidth="1" min="6" max="6"/>
    <col width="6" customWidth="1" min="7" max="7"/>
    <col width="14" customWidth="1" min="8" max="8"/>
    <col width="14" customWidth="1" min="9" max="9"/>
    <col width="16" customWidth="1" min="10" max="10"/>
  </cols>
  <sheetData>
    <row r="1" ht="16" customHeight="1">
      <c r="H1" s="5" t="inlineStr">
        <is>
          <t>chiết khấu</t>
        </is>
      </c>
      <c r="J1" s="6" t="n">
        <v>0.3</v>
      </c>
    </row>
    <row r="2" ht="28" customHeight="1">
      <c r="A2" s="1" t="inlineStr">
        <is>
          <t>STT</t>
        </is>
      </c>
      <c r="B2" s="1" t="inlineStr">
        <is>
          <t>Tên Thiết Bị : 1AP-SC4 ( Tên này lấy trong bản vẽ)</t>
        </is>
      </c>
      <c r="C2" s="1" t="inlineStr">
        <is>
          <t>Model</t>
        </is>
      </c>
      <c r="D2" s="1" t="inlineStr">
        <is>
          <t>Mã SP</t>
        </is>
      </c>
      <c r="E2" s="1" t="inlineStr">
        <is>
          <t>HÃNG SẢN XUẤT</t>
        </is>
      </c>
      <c r="F2" s="1" t="inlineStr">
        <is>
          <t>Đơn vị</t>
        </is>
      </c>
      <c r="G2" s="1" t="inlineStr">
        <is>
          <t>SL</t>
        </is>
      </c>
      <c r="H2" s="1" t="inlineStr">
        <is>
          <t>Giá gốc</t>
        </is>
      </c>
      <c r="I2" s="1" t="inlineStr">
        <is>
          <t>Giá mua
thực</t>
        </is>
      </c>
      <c r="J2" s="1" t="inlineStr">
        <is>
          <t>Thành tiền</t>
        </is>
      </c>
    </row>
    <row r="3">
      <c r="A3" s="7" t="n"/>
      <c r="B3" s="8" t="inlineStr">
        <is>
          <t>Đầu vào:</t>
        </is>
      </c>
      <c r="C3" s="7" t="n"/>
      <c r="D3" s="7" t="n"/>
      <c r="E3" s="7" t="n"/>
      <c r="F3" s="7" t="n"/>
      <c r="G3" s="7" t="n"/>
      <c r="H3" s="7" t="n"/>
      <c r="I3" s="7" t="n"/>
      <c r="J3" s="7" t="n"/>
    </row>
    <row r="4" ht="18" customHeight="1">
      <c r="A4" s="9" t="n">
        <v>1</v>
      </c>
      <c r="B4" s="10" t="inlineStr">
        <is>
          <t>ABN203c 3P 100A 30kA</t>
        </is>
      </c>
      <c r="C4" s="9" t="inlineStr">
        <is>
          <t>ABN203c 3P 100A 30kA</t>
        </is>
      </c>
      <c r="D4" s="9" t="inlineStr">
        <is>
          <t>ABN203c 3P 100A</t>
        </is>
      </c>
      <c r="E4" s="9" t="inlineStr">
        <is>
          <t>LS</t>
        </is>
      </c>
      <c r="F4" s="9" t="inlineStr">
        <is>
          <t>Cái</t>
        </is>
      </c>
      <c r="G4" s="9" t="n">
        <v>1</v>
      </c>
      <c r="H4" s="11" t="n">
        <v>2860000</v>
      </c>
      <c r="I4" s="11">
        <f>H4*(1-$J$1)</f>
        <v/>
      </c>
      <c r="J4" s="11">
        <f>G4*I4</f>
        <v/>
      </c>
    </row>
    <row r="5">
      <c r="A5" s="7" t="n"/>
      <c r="B5" s="8" t="inlineStr">
        <is>
          <t>Đầu ra: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18" customHeight="1">
      <c r="A6" s="9" t="n">
        <v>2</v>
      </c>
      <c r="B6" s="10" t="inlineStr">
        <is>
          <t>LA63N 1P 6A 6kA</t>
        </is>
      </c>
      <c r="C6" s="9" t="inlineStr">
        <is>
          <t>LA63N 1P 6A 6kA</t>
        </is>
      </c>
      <c r="D6" s="9" t="inlineStr">
        <is>
          <t>LA63N 1P 6A</t>
        </is>
      </c>
      <c r="E6" s="9" t="inlineStr">
        <is>
          <t>LS</t>
        </is>
      </c>
      <c r="F6" s="9" t="inlineStr">
        <is>
          <t>Cái</t>
        </is>
      </c>
      <c r="G6" s="9" t="n">
        <v>27</v>
      </c>
      <c r="H6" s="11" t="n">
        <v>115000</v>
      </c>
      <c r="I6" s="11">
        <f>H6*(1-$J$1)</f>
        <v/>
      </c>
      <c r="J6" s="11">
        <f>G6*I6</f>
        <v/>
      </c>
    </row>
    <row r="7">
      <c r="A7" s="2" t="n"/>
      <c r="B7" s="10" t="inlineStr">
        <is>
          <t>Thanh cái đồng</t>
        </is>
      </c>
      <c r="C7" s="2" t="n"/>
      <c r="D7" s="2" t="n"/>
      <c r="E7" s="2" t="n"/>
      <c r="F7" s="12" t="inlineStr">
        <is>
          <t>Tủ</t>
        </is>
      </c>
      <c r="G7" s="12" t="n">
        <v>1</v>
      </c>
      <c r="H7" s="2" t="n"/>
      <c r="I7" s="11">
        <f>H7*(1-$J$1)</f>
        <v/>
      </c>
      <c r="J7" s="11">
        <f>G7*I7</f>
        <v/>
      </c>
    </row>
    <row r="8">
      <c r="A8" s="2" t="n"/>
      <c r="B8" s="10" t="inlineStr">
        <is>
          <t>Vật tư phụ</t>
        </is>
      </c>
      <c r="C8" s="2" t="n"/>
      <c r="D8" s="2" t="n"/>
      <c r="E8" s="2" t="n"/>
      <c r="F8" s="12" t="inlineStr">
        <is>
          <t>Tủ</t>
        </is>
      </c>
      <c r="G8" s="12" t="n">
        <v>1</v>
      </c>
      <c r="H8" s="2" t="n"/>
      <c r="I8" s="11">
        <f>H8*(1-$J$1)</f>
        <v/>
      </c>
      <c r="J8" s="11">
        <f>G8*I8</f>
        <v/>
      </c>
    </row>
    <row r="9">
      <c r="A9" s="2" t="n"/>
      <c r="B9" s="10" t="inlineStr">
        <is>
          <t>Nhân công đấu nối tại xưởng</t>
        </is>
      </c>
      <c r="C9" s="2" t="n"/>
      <c r="D9" s="2" t="n"/>
      <c r="E9" s="2" t="n"/>
      <c r="F9" s="12" t="inlineStr">
        <is>
          <t>Tủ</t>
        </is>
      </c>
      <c r="G9" s="12" t="n">
        <v>1</v>
      </c>
      <c r="H9" s="2" t="n"/>
      <c r="I9" s="11">
        <f>H9*(1-$J$1)</f>
        <v/>
      </c>
      <c r="J9" s="11">
        <f>G9*I9</f>
        <v/>
      </c>
    </row>
    <row r="10">
      <c r="A10" s="13" t="n"/>
      <c r="B10" s="1" t="inlineStr">
        <is>
          <t>Tổng</t>
        </is>
      </c>
      <c r="C10" s="13" t="n"/>
      <c r="D10" s="13" t="n"/>
      <c r="E10" s="13" t="n"/>
      <c r="F10" s="13" t="n"/>
      <c r="G10" s="13" t="n"/>
      <c r="H10" s="13" t="n"/>
      <c r="I10" s="13" t="n"/>
      <c r="J10" s="14">
        <f>J4+J6+J7+J8+J9</f>
        <v/>
      </c>
    </row>
  </sheetData>
  <mergeCells count="1">
    <mergeCell ref="H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25" customWidth="1" min="3" max="3"/>
    <col width="18" customWidth="1" min="4" max="4"/>
    <col width="16" customWidth="1" min="5" max="5"/>
    <col width="10" customWidth="1" min="6" max="6"/>
    <col width="6" customWidth="1" min="7" max="7"/>
    <col width="14" customWidth="1" min="8" max="8"/>
    <col width="14" customWidth="1" min="9" max="9"/>
    <col width="16" customWidth="1" min="10" max="10"/>
  </cols>
  <sheetData>
    <row r="1" ht="16" customHeight="1">
      <c r="H1" s="5" t="inlineStr">
        <is>
          <t>chiết khấu</t>
        </is>
      </c>
      <c r="J1" s="6" t="n">
        <v>0.3</v>
      </c>
    </row>
    <row r="2" ht="28" customHeight="1">
      <c r="A2" s="1" t="inlineStr">
        <is>
          <t>STT</t>
        </is>
      </c>
      <c r="B2" s="1" t="inlineStr">
        <is>
          <t>Tên Thiết Bị : 1AP-SC3 ( Tên này lấy trong bản vẽ)</t>
        </is>
      </c>
      <c r="C2" s="1" t="inlineStr">
        <is>
          <t>Model</t>
        </is>
      </c>
      <c r="D2" s="1" t="inlineStr">
        <is>
          <t>Mã SP</t>
        </is>
      </c>
      <c r="E2" s="1" t="inlineStr">
        <is>
          <t>HÃNG SẢN XUẤT</t>
        </is>
      </c>
      <c r="F2" s="1" t="inlineStr">
        <is>
          <t>Đơn vị</t>
        </is>
      </c>
      <c r="G2" s="1" t="inlineStr">
        <is>
          <t>SL</t>
        </is>
      </c>
      <c r="H2" s="1" t="inlineStr">
        <is>
          <t>Giá gốc</t>
        </is>
      </c>
      <c r="I2" s="1" t="inlineStr">
        <is>
          <t>Giá mua
thực</t>
        </is>
      </c>
      <c r="J2" s="1" t="inlineStr">
        <is>
          <t>Thành tiền</t>
        </is>
      </c>
    </row>
    <row r="3">
      <c r="A3" s="7" t="n"/>
      <c r="B3" s="8" t="inlineStr">
        <is>
          <t>Đầu vào:</t>
        </is>
      </c>
      <c r="C3" s="7" t="n"/>
      <c r="D3" s="7" t="n"/>
      <c r="E3" s="7" t="n"/>
      <c r="F3" s="7" t="n"/>
      <c r="G3" s="7" t="n"/>
      <c r="H3" s="7" t="n"/>
      <c r="I3" s="7" t="n"/>
      <c r="J3" s="7" t="n"/>
    </row>
    <row r="4" ht="18" customHeight="1">
      <c r="A4" s="9" t="n">
        <v>1</v>
      </c>
      <c r="B4" s="10" t="inlineStr">
        <is>
          <t>ABN203c 3P 100A 30kA</t>
        </is>
      </c>
      <c r="C4" s="9" t="inlineStr">
        <is>
          <t>ABN203c 3P 100A 30kA</t>
        </is>
      </c>
      <c r="D4" s="9" t="inlineStr">
        <is>
          <t>ABN203c 3P 100A</t>
        </is>
      </c>
      <c r="E4" s="9" t="inlineStr">
        <is>
          <t>LS</t>
        </is>
      </c>
      <c r="F4" s="9" t="inlineStr">
        <is>
          <t>Cái</t>
        </is>
      </c>
      <c r="G4" s="9" t="n">
        <v>1</v>
      </c>
      <c r="H4" s="11" t="n">
        <v>2860000</v>
      </c>
      <c r="I4" s="11">
        <f>H4*(1-$J$1)</f>
        <v/>
      </c>
      <c r="J4" s="11">
        <f>G4*I4</f>
        <v/>
      </c>
    </row>
    <row r="5">
      <c r="A5" s="7" t="n"/>
      <c r="B5" s="8" t="inlineStr">
        <is>
          <t>Đầu ra: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18" customHeight="1">
      <c r="A6" s="9" t="n">
        <v>2</v>
      </c>
      <c r="B6" s="10" t="inlineStr">
        <is>
          <t>LA63N 3P 6A 6kA</t>
        </is>
      </c>
      <c r="C6" s="9" t="inlineStr">
        <is>
          <t>LA63N 3P 6A 6kA</t>
        </is>
      </c>
      <c r="D6" s="9" t="inlineStr">
        <is>
          <t>LA63N 3P 6A</t>
        </is>
      </c>
      <c r="E6" s="9" t="inlineStr">
        <is>
          <t>LS</t>
        </is>
      </c>
      <c r="F6" s="9" t="inlineStr">
        <is>
          <t>Cái</t>
        </is>
      </c>
      <c r="G6" s="9" t="n">
        <v>40</v>
      </c>
      <c r="H6" s="11" t="n">
        <v>406000</v>
      </c>
      <c r="I6" s="11">
        <f>H6*(1-$J$1)</f>
        <v/>
      </c>
      <c r="J6" s="11">
        <f>G6*I6</f>
        <v/>
      </c>
    </row>
    <row r="7" ht="18" customHeight="1">
      <c r="A7" s="9" t="n">
        <v>3</v>
      </c>
      <c r="B7" s="10" t="inlineStr">
        <is>
          <t>ABN53c 3P 32A 18kA</t>
        </is>
      </c>
      <c r="C7" s="9" t="inlineStr">
        <is>
          <t>ABN53c 3P 32A 18kA</t>
        </is>
      </c>
      <c r="D7" s="9" t="inlineStr">
        <is>
          <t>ABN53c 3P 32A</t>
        </is>
      </c>
      <c r="E7" s="9" t="inlineStr">
        <is>
          <t>LS</t>
        </is>
      </c>
      <c r="F7" s="9" t="inlineStr">
        <is>
          <t>Cái</t>
        </is>
      </c>
      <c r="G7" s="9" t="n">
        <v>4</v>
      </c>
      <c r="H7" s="11" t="n">
        <v>1150000</v>
      </c>
      <c r="I7" s="11">
        <f>H7*(1-$J$1)</f>
        <v/>
      </c>
      <c r="J7" s="11">
        <f>G7*I7</f>
        <v/>
      </c>
    </row>
    <row r="8" ht="18" customHeight="1">
      <c r="A8" s="9" t="n">
        <v>4</v>
      </c>
      <c r="B8" s="10" t="inlineStr">
        <is>
          <t>EBN104c 4P 16A 30mA 18kA</t>
        </is>
      </c>
      <c r="C8" s="9" t="inlineStr">
        <is>
          <t>EBN104c 4P 16A 30mA 18kA</t>
        </is>
      </c>
      <c r="D8" s="9" t="inlineStr">
        <is>
          <t>EBN104c 4P 16A</t>
        </is>
      </c>
      <c r="E8" s="9" t="inlineStr">
        <is>
          <t>LS</t>
        </is>
      </c>
      <c r="F8" s="9" t="inlineStr">
        <is>
          <t>Cái</t>
        </is>
      </c>
      <c r="G8" s="9" t="n">
        <v>2</v>
      </c>
      <c r="H8" s="11" t="n">
        <v>4100000</v>
      </c>
      <c r="I8" s="11">
        <f>H8*(1-$J$1)</f>
        <v/>
      </c>
      <c r="J8" s="11">
        <f>G8*I8</f>
        <v/>
      </c>
    </row>
    <row r="9">
      <c r="A9" s="2" t="n"/>
      <c r="B9" s="10" t="inlineStr">
        <is>
          <t>Thanh cái đồng</t>
        </is>
      </c>
      <c r="C9" s="2" t="n"/>
      <c r="D9" s="2" t="n"/>
      <c r="E9" s="2" t="n"/>
      <c r="F9" s="12" t="inlineStr">
        <is>
          <t>Tủ</t>
        </is>
      </c>
      <c r="G9" s="12" t="n">
        <v>1</v>
      </c>
      <c r="H9" s="2" t="n"/>
      <c r="I9" s="11">
        <f>H9*(1-$J$1)</f>
        <v/>
      </c>
      <c r="J9" s="11">
        <f>G9*I9</f>
        <v/>
      </c>
    </row>
    <row r="10">
      <c r="A10" s="2" t="n"/>
      <c r="B10" s="10" t="inlineStr">
        <is>
          <t>Vật tư phụ</t>
        </is>
      </c>
      <c r="C10" s="2" t="n"/>
      <c r="D10" s="2" t="n"/>
      <c r="E10" s="2" t="n"/>
      <c r="F10" s="12" t="inlineStr">
        <is>
          <t>Tủ</t>
        </is>
      </c>
      <c r="G10" s="12" t="n">
        <v>1</v>
      </c>
      <c r="H10" s="2" t="n"/>
      <c r="I10" s="11">
        <f>H10*(1-$J$1)</f>
        <v/>
      </c>
      <c r="J10" s="11">
        <f>G10*I10</f>
        <v/>
      </c>
    </row>
    <row r="11">
      <c r="A11" s="2" t="n"/>
      <c r="B11" s="10" t="inlineStr">
        <is>
          <t>Nhân công đấu nối tại xưởng</t>
        </is>
      </c>
      <c r="C11" s="2" t="n"/>
      <c r="D11" s="2" t="n"/>
      <c r="E11" s="2" t="n"/>
      <c r="F11" s="12" t="inlineStr">
        <is>
          <t>Tủ</t>
        </is>
      </c>
      <c r="G11" s="12" t="n">
        <v>1</v>
      </c>
      <c r="H11" s="2" t="n"/>
      <c r="I11" s="11">
        <f>H11*(1-$J$1)</f>
        <v/>
      </c>
      <c r="J11" s="11">
        <f>G11*I11</f>
        <v/>
      </c>
    </row>
    <row r="12">
      <c r="A12" s="13" t="n"/>
      <c r="B12" s="1" t="inlineStr">
        <is>
          <t>Tổng</t>
        </is>
      </c>
      <c r="C12" s="13" t="n"/>
      <c r="D12" s="13" t="n"/>
      <c r="E12" s="13" t="n"/>
      <c r="F12" s="13" t="n"/>
      <c r="G12" s="13" t="n"/>
      <c r="H12" s="13" t="n"/>
      <c r="I12" s="13" t="n"/>
      <c r="J12" s="14">
        <f>J4+J6+J7+J8+J9+J10+J11</f>
        <v/>
      </c>
    </row>
  </sheetData>
  <mergeCells count="1">
    <mergeCell ref="H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25" customWidth="1" min="3" max="3"/>
    <col width="18" customWidth="1" min="4" max="4"/>
    <col width="16" customWidth="1" min="5" max="5"/>
    <col width="10" customWidth="1" min="6" max="6"/>
    <col width="6" customWidth="1" min="7" max="7"/>
    <col width="14" customWidth="1" min="8" max="8"/>
    <col width="14" customWidth="1" min="9" max="9"/>
    <col width="16" customWidth="1" min="10" max="10"/>
  </cols>
  <sheetData>
    <row r="1" ht="16" customHeight="1">
      <c r="H1" s="5" t="inlineStr">
        <is>
          <t>chiết khấu</t>
        </is>
      </c>
      <c r="J1" s="6" t="n">
        <v>0.3</v>
      </c>
    </row>
    <row r="2" ht="28" customHeight="1">
      <c r="A2" s="1" t="inlineStr">
        <is>
          <t>STT</t>
        </is>
      </c>
      <c r="B2" s="1" t="inlineStr">
        <is>
          <t>Tên Thiết Bị : 1AP-SC2 ( Tên này lấy trong bản vẽ)</t>
        </is>
      </c>
      <c r="C2" s="1" t="inlineStr">
        <is>
          <t>Model</t>
        </is>
      </c>
      <c r="D2" s="1" t="inlineStr">
        <is>
          <t>Mã SP</t>
        </is>
      </c>
      <c r="E2" s="1" t="inlineStr">
        <is>
          <t>HÃNG SẢN XUẤT</t>
        </is>
      </c>
      <c r="F2" s="1" t="inlineStr">
        <is>
          <t>Đơn vị</t>
        </is>
      </c>
      <c r="G2" s="1" t="inlineStr">
        <is>
          <t>SL</t>
        </is>
      </c>
      <c r="H2" s="1" t="inlineStr">
        <is>
          <t>Giá gốc</t>
        </is>
      </c>
      <c r="I2" s="1" t="inlineStr">
        <is>
          <t>Giá mua
thực</t>
        </is>
      </c>
      <c r="J2" s="1" t="inlineStr">
        <is>
          <t>Thành tiền</t>
        </is>
      </c>
    </row>
    <row r="3">
      <c r="A3" s="7" t="n"/>
      <c r="B3" s="8" t="inlineStr">
        <is>
          <t>Đầu vào:</t>
        </is>
      </c>
      <c r="C3" s="7" t="n"/>
      <c r="D3" s="7" t="n"/>
      <c r="E3" s="7" t="n"/>
      <c r="F3" s="7" t="n"/>
      <c r="G3" s="7" t="n"/>
      <c r="H3" s="7" t="n"/>
      <c r="I3" s="7" t="n"/>
      <c r="J3" s="7" t="n"/>
    </row>
    <row r="4" ht="18" customHeight="1">
      <c r="A4" s="9" t="n">
        <v>1</v>
      </c>
      <c r="B4" s="10" t="inlineStr">
        <is>
          <t>ABN203c 3P 100A 30kA</t>
        </is>
      </c>
      <c r="C4" s="9" t="inlineStr">
        <is>
          <t>ABN203c 3P 100A 30kA</t>
        </is>
      </c>
      <c r="D4" s="9" t="inlineStr">
        <is>
          <t>ABN203c 3P 100A</t>
        </is>
      </c>
      <c r="E4" s="9" t="inlineStr">
        <is>
          <t>LS</t>
        </is>
      </c>
      <c r="F4" s="9" t="inlineStr">
        <is>
          <t>Cái</t>
        </is>
      </c>
      <c r="G4" s="9" t="n">
        <v>1</v>
      </c>
      <c r="H4" s="11" t="n">
        <v>2860000</v>
      </c>
      <c r="I4" s="11">
        <f>H4*(1-$J$1)</f>
        <v/>
      </c>
      <c r="J4" s="11">
        <f>G4*I4</f>
        <v/>
      </c>
    </row>
    <row r="5">
      <c r="A5" s="7" t="n"/>
      <c r="B5" s="8" t="inlineStr">
        <is>
          <t>Đầu ra: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18" customHeight="1">
      <c r="A6" s="9" t="n">
        <v>2</v>
      </c>
      <c r="B6" s="10" t="inlineStr">
        <is>
          <t>RCBO 2P 16A 6kA</t>
        </is>
      </c>
      <c r="C6" s="9" t="inlineStr"/>
      <c r="D6" s="9" t="inlineStr"/>
      <c r="E6" s="9" t="inlineStr"/>
      <c r="F6" s="9" t="inlineStr">
        <is>
          <t>Cái</t>
        </is>
      </c>
      <c r="G6" s="9" t="n">
        <v>1</v>
      </c>
      <c r="H6" s="11" t="n"/>
      <c r="I6" s="11">
        <f>H6*(1-$J$1)</f>
        <v/>
      </c>
      <c r="J6" s="11">
        <f>G6*I6</f>
        <v/>
      </c>
    </row>
    <row r="7" ht="18" customHeight="1">
      <c r="A7" s="9" t="n">
        <v>3</v>
      </c>
      <c r="B7" s="10" t="inlineStr">
        <is>
          <t>RCBO 2P 16A 6kA</t>
        </is>
      </c>
      <c r="C7" s="9" t="inlineStr"/>
      <c r="D7" s="9" t="inlineStr"/>
      <c r="E7" s="9" t="inlineStr"/>
      <c r="F7" s="9" t="inlineStr">
        <is>
          <t>Cái</t>
        </is>
      </c>
      <c r="G7" s="9" t="n">
        <v>1</v>
      </c>
      <c r="H7" s="11" t="n"/>
      <c r="I7" s="11">
        <f>H7*(1-$J$1)</f>
        <v/>
      </c>
      <c r="J7" s="11">
        <f>G7*I7</f>
        <v/>
      </c>
    </row>
    <row r="8" ht="18" customHeight="1">
      <c r="A8" s="9" t="n">
        <v>4</v>
      </c>
      <c r="B8" s="10" t="inlineStr">
        <is>
          <t>RCBO 2P 16A 6kA</t>
        </is>
      </c>
      <c r="C8" s="9" t="inlineStr"/>
      <c r="D8" s="9" t="inlineStr"/>
      <c r="E8" s="9" t="inlineStr"/>
      <c r="F8" s="9" t="inlineStr">
        <is>
          <t>Cái</t>
        </is>
      </c>
      <c r="G8" s="9" t="n">
        <v>1</v>
      </c>
      <c r="H8" s="11" t="n"/>
      <c r="I8" s="11">
        <f>H8*(1-$J$1)</f>
        <v/>
      </c>
      <c r="J8" s="11">
        <f>G8*I8</f>
        <v/>
      </c>
    </row>
    <row r="9" ht="18" customHeight="1">
      <c r="A9" s="9" t="n">
        <v>5</v>
      </c>
      <c r="B9" s="10" t="inlineStr">
        <is>
          <t>RCBO 2P 16A 6kA</t>
        </is>
      </c>
      <c r="C9" s="9" t="inlineStr"/>
      <c r="D9" s="9" t="inlineStr"/>
      <c r="E9" s="9" t="inlineStr"/>
      <c r="F9" s="9" t="inlineStr">
        <is>
          <t>Cái</t>
        </is>
      </c>
      <c r="G9" s="9" t="n">
        <v>1</v>
      </c>
      <c r="H9" s="11" t="n"/>
      <c r="I9" s="11">
        <f>H9*(1-$J$1)</f>
        <v/>
      </c>
      <c r="J9" s="11">
        <f>G9*I9</f>
        <v/>
      </c>
    </row>
    <row r="10" ht="18" customHeight="1">
      <c r="A10" s="9" t="n">
        <v>6</v>
      </c>
      <c r="B10" s="10" t="inlineStr">
        <is>
          <t>RCBO 2P 16A 6kA</t>
        </is>
      </c>
      <c r="C10" s="9" t="inlineStr"/>
      <c r="D10" s="9" t="inlineStr"/>
      <c r="E10" s="9" t="inlineStr"/>
      <c r="F10" s="9" t="inlineStr">
        <is>
          <t>Cái</t>
        </is>
      </c>
      <c r="G10" s="9" t="n">
        <v>1</v>
      </c>
      <c r="H10" s="11" t="n"/>
      <c r="I10" s="11">
        <f>H10*(1-$J$1)</f>
        <v/>
      </c>
      <c r="J10" s="11">
        <f>G10*I10</f>
        <v/>
      </c>
    </row>
    <row r="11" ht="18" customHeight="1">
      <c r="A11" s="9" t="n">
        <v>7</v>
      </c>
      <c r="B11" s="10" t="inlineStr">
        <is>
          <t>RCBO 2P 16A 6kA</t>
        </is>
      </c>
      <c r="C11" s="9" t="inlineStr"/>
      <c r="D11" s="9" t="inlineStr"/>
      <c r="E11" s="9" t="inlineStr"/>
      <c r="F11" s="9" t="inlineStr">
        <is>
          <t>Cái</t>
        </is>
      </c>
      <c r="G11" s="9" t="n">
        <v>1</v>
      </c>
      <c r="H11" s="11" t="n"/>
      <c r="I11" s="11">
        <f>H11*(1-$J$1)</f>
        <v/>
      </c>
      <c r="J11" s="11">
        <f>G11*I11</f>
        <v/>
      </c>
    </row>
    <row r="12" ht="18" customHeight="1">
      <c r="A12" s="9" t="n">
        <v>8</v>
      </c>
      <c r="B12" s="10" t="inlineStr">
        <is>
          <t>RCBO 2P 16A 6kA</t>
        </is>
      </c>
      <c r="C12" s="9" t="inlineStr"/>
      <c r="D12" s="9" t="inlineStr"/>
      <c r="E12" s="9" t="inlineStr"/>
      <c r="F12" s="9" t="inlineStr">
        <is>
          <t>Cái</t>
        </is>
      </c>
      <c r="G12" s="9" t="n">
        <v>1</v>
      </c>
      <c r="H12" s="11" t="n"/>
      <c r="I12" s="11">
        <f>H12*(1-$J$1)</f>
        <v/>
      </c>
      <c r="J12" s="11">
        <f>G12*I12</f>
        <v/>
      </c>
    </row>
    <row r="13" ht="18" customHeight="1">
      <c r="A13" s="9" t="n">
        <v>9</v>
      </c>
      <c r="B13" s="10" t="inlineStr">
        <is>
          <t>RCBO 2P 16A 6kA</t>
        </is>
      </c>
      <c r="C13" s="9" t="inlineStr"/>
      <c r="D13" s="9" t="inlineStr"/>
      <c r="E13" s="9" t="inlineStr"/>
      <c r="F13" s="9" t="inlineStr">
        <is>
          <t>Cái</t>
        </is>
      </c>
      <c r="G13" s="9" t="n">
        <v>1</v>
      </c>
      <c r="H13" s="11" t="n"/>
      <c r="I13" s="11">
        <f>H13*(1-$J$1)</f>
        <v/>
      </c>
      <c r="J13" s="11">
        <f>G13*I13</f>
        <v/>
      </c>
    </row>
    <row r="14" ht="18" customHeight="1">
      <c r="A14" s="9" t="n">
        <v>10</v>
      </c>
      <c r="B14" s="10" t="inlineStr">
        <is>
          <t>RCBO 2P 16A 6kA</t>
        </is>
      </c>
      <c r="C14" s="9" t="inlineStr"/>
      <c r="D14" s="9" t="inlineStr"/>
      <c r="E14" s="9" t="inlineStr"/>
      <c r="F14" s="9" t="inlineStr">
        <is>
          <t>Cái</t>
        </is>
      </c>
      <c r="G14" s="9" t="n">
        <v>1</v>
      </c>
      <c r="H14" s="11" t="n"/>
      <c r="I14" s="11">
        <f>H14*(1-$J$1)</f>
        <v/>
      </c>
      <c r="J14" s="11">
        <f>G14*I14</f>
        <v/>
      </c>
    </row>
    <row r="15" ht="18" customHeight="1">
      <c r="A15" s="9" t="n">
        <v>11</v>
      </c>
      <c r="B15" s="10" t="inlineStr">
        <is>
          <t>RCBO 2P 16A 6kA</t>
        </is>
      </c>
      <c r="C15" s="9" t="inlineStr"/>
      <c r="D15" s="9" t="inlineStr"/>
      <c r="E15" s="9" t="inlineStr"/>
      <c r="F15" s="9" t="inlineStr">
        <is>
          <t>Cái</t>
        </is>
      </c>
      <c r="G15" s="9" t="n">
        <v>1</v>
      </c>
      <c r="H15" s="11" t="n"/>
      <c r="I15" s="11">
        <f>H15*(1-$J$1)</f>
        <v/>
      </c>
      <c r="J15" s="11">
        <f>G15*I15</f>
        <v/>
      </c>
    </row>
    <row r="16" ht="18" customHeight="1">
      <c r="A16" s="9" t="n">
        <v>12</v>
      </c>
      <c r="B16" s="10" t="inlineStr">
        <is>
          <t>RCBO 2P 16A 6kA</t>
        </is>
      </c>
      <c r="C16" s="9" t="inlineStr"/>
      <c r="D16" s="9" t="inlineStr"/>
      <c r="E16" s="9" t="inlineStr"/>
      <c r="F16" s="9" t="inlineStr">
        <is>
          <t>Cái</t>
        </is>
      </c>
      <c r="G16" s="9" t="n">
        <v>1</v>
      </c>
      <c r="H16" s="11" t="n"/>
      <c r="I16" s="11">
        <f>H16*(1-$J$1)</f>
        <v/>
      </c>
      <c r="J16" s="11">
        <f>G16*I16</f>
        <v/>
      </c>
    </row>
    <row r="17" ht="18" customHeight="1">
      <c r="A17" s="9" t="n">
        <v>13</v>
      </c>
      <c r="B17" s="10" t="inlineStr">
        <is>
          <t>RCBO 2P 16A 6kA</t>
        </is>
      </c>
      <c r="C17" s="9" t="inlineStr"/>
      <c r="D17" s="9" t="inlineStr"/>
      <c r="E17" s="9" t="inlineStr"/>
      <c r="F17" s="9" t="inlineStr">
        <is>
          <t>Cái</t>
        </is>
      </c>
      <c r="G17" s="9" t="n">
        <v>1</v>
      </c>
      <c r="H17" s="11" t="n"/>
      <c r="I17" s="11">
        <f>H17*(1-$J$1)</f>
        <v/>
      </c>
      <c r="J17" s="11">
        <f>G17*I17</f>
        <v/>
      </c>
    </row>
    <row r="18" ht="18" customHeight="1">
      <c r="A18" s="9" t="n">
        <v>14</v>
      </c>
      <c r="B18" s="10" t="inlineStr">
        <is>
          <t>RCBO 2P 16A 6kA</t>
        </is>
      </c>
      <c r="C18" s="9" t="inlineStr"/>
      <c r="D18" s="9" t="inlineStr"/>
      <c r="E18" s="9" t="inlineStr"/>
      <c r="F18" s="9" t="inlineStr">
        <is>
          <t>Cái</t>
        </is>
      </c>
      <c r="G18" s="9" t="n">
        <v>1</v>
      </c>
      <c r="H18" s="11" t="n"/>
      <c r="I18" s="11">
        <f>H18*(1-$J$1)</f>
        <v/>
      </c>
      <c r="J18" s="11">
        <f>G18*I18</f>
        <v/>
      </c>
    </row>
    <row r="19" ht="18" customHeight="1">
      <c r="A19" s="9" t="n">
        <v>15</v>
      </c>
      <c r="B19" s="10" t="inlineStr">
        <is>
          <t>RCBO 2P 16A 6kA</t>
        </is>
      </c>
      <c r="C19" s="9" t="inlineStr"/>
      <c r="D19" s="9" t="inlineStr"/>
      <c r="E19" s="9" t="inlineStr"/>
      <c r="F19" s="9" t="inlineStr">
        <is>
          <t>Cái</t>
        </is>
      </c>
      <c r="G19" s="9" t="n">
        <v>1</v>
      </c>
      <c r="H19" s="11" t="n"/>
      <c r="I19" s="11">
        <f>H19*(1-$J$1)</f>
        <v/>
      </c>
      <c r="J19" s="11">
        <f>G19*I19</f>
        <v/>
      </c>
    </row>
    <row r="20" ht="18" customHeight="1">
      <c r="A20" s="9" t="n">
        <v>16</v>
      </c>
      <c r="B20" s="10" t="inlineStr">
        <is>
          <t>RCBO 2P 16A 6kA</t>
        </is>
      </c>
      <c r="C20" s="9" t="inlineStr"/>
      <c r="D20" s="9" t="inlineStr"/>
      <c r="E20" s="9" t="inlineStr"/>
      <c r="F20" s="9" t="inlineStr">
        <is>
          <t>Cái</t>
        </is>
      </c>
      <c r="G20" s="9" t="n">
        <v>1</v>
      </c>
      <c r="H20" s="11" t="n"/>
      <c r="I20" s="11">
        <f>H20*(1-$J$1)</f>
        <v/>
      </c>
      <c r="J20" s="11">
        <f>G20*I20</f>
        <v/>
      </c>
    </row>
    <row r="21" ht="18" customHeight="1">
      <c r="A21" s="9" t="n">
        <v>17</v>
      </c>
      <c r="B21" s="10" t="inlineStr">
        <is>
          <t>RCBO 2P 16A 6kA</t>
        </is>
      </c>
      <c r="C21" s="9" t="inlineStr"/>
      <c r="D21" s="9" t="inlineStr"/>
      <c r="E21" s="9" t="inlineStr"/>
      <c r="F21" s="9" t="inlineStr">
        <is>
          <t>Cái</t>
        </is>
      </c>
      <c r="G21" s="9" t="n">
        <v>1</v>
      </c>
      <c r="H21" s="11" t="n"/>
      <c r="I21" s="11">
        <f>H21*(1-$J$1)</f>
        <v/>
      </c>
      <c r="J21" s="11">
        <f>G21*I21</f>
        <v/>
      </c>
    </row>
    <row r="22" ht="18" customHeight="1">
      <c r="A22" s="9" t="n">
        <v>18</v>
      </c>
      <c r="B22" s="10" t="inlineStr">
        <is>
          <t>RCBO 2P 16A 6kA</t>
        </is>
      </c>
      <c r="C22" s="9" t="inlineStr"/>
      <c r="D22" s="9" t="inlineStr"/>
      <c r="E22" s="9" t="inlineStr"/>
      <c r="F22" s="9" t="inlineStr">
        <is>
          <t>Cái</t>
        </is>
      </c>
      <c r="G22" s="9" t="n">
        <v>1</v>
      </c>
      <c r="H22" s="11" t="n"/>
      <c r="I22" s="11">
        <f>H22*(1-$J$1)</f>
        <v/>
      </c>
      <c r="J22" s="11">
        <f>G22*I22</f>
        <v/>
      </c>
    </row>
    <row r="23" ht="18" customHeight="1">
      <c r="A23" s="9" t="n">
        <v>19</v>
      </c>
      <c r="B23" s="10" t="inlineStr">
        <is>
          <t>RCBO 2P 16A 6kA</t>
        </is>
      </c>
      <c r="C23" s="9" t="inlineStr"/>
      <c r="D23" s="9" t="inlineStr"/>
      <c r="E23" s="9" t="inlineStr"/>
      <c r="F23" s="9" t="inlineStr">
        <is>
          <t>Cái</t>
        </is>
      </c>
      <c r="G23" s="9" t="n">
        <v>1</v>
      </c>
      <c r="H23" s="11" t="n"/>
      <c r="I23" s="11">
        <f>H23*(1-$J$1)</f>
        <v/>
      </c>
      <c r="J23" s="11">
        <f>G23*I23</f>
        <v/>
      </c>
    </row>
    <row r="24" ht="18" customHeight="1">
      <c r="A24" s="9" t="n">
        <v>20</v>
      </c>
      <c r="B24" s="10" t="inlineStr">
        <is>
          <t>LA63N 1P 10A 6kA</t>
        </is>
      </c>
      <c r="C24" s="9" t="inlineStr">
        <is>
          <t>LA63N 1P 10A 6kA</t>
        </is>
      </c>
      <c r="D24" s="9" t="inlineStr">
        <is>
          <t>LA63N 1P 10A</t>
        </is>
      </c>
      <c r="E24" s="9" t="inlineStr">
        <is>
          <t>LS</t>
        </is>
      </c>
      <c r="F24" s="9" t="inlineStr">
        <is>
          <t>Cái</t>
        </is>
      </c>
      <c r="G24" s="9" t="n">
        <v>8</v>
      </c>
      <c r="H24" s="11" t="n">
        <v>115000</v>
      </c>
      <c r="I24" s="11">
        <f>H24*(1-$J$1)</f>
        <v/>
      </c>
      <c r="J24" s="11">
        <f>G24*I24</f>
        <v/>
      </c>
    </row>
    <row r="25">
      <c r="A25" s="2" t="n"/>
      <c r="B25" s="10" t="inlineStr">
        <is>
          <t>Thanh cái đồng</t>
        </is>
      </c>
      <c r="C25" s="2" t="n"/>
      <c r="D25" s="2" t="n"/>
      <c r="E25" s="2" t="n"/>
      <c r="F25" s="12" t="inlineStr">
        <is>
          <t>Tủ</t>
        </is>
      </c>
      <c r="G25" s="12" t="n">
        <v>1</v>
      </c>
      <c r="H25" s="2" t="n"/>
      <c r="I25" s="11">
        <f>H25*(1-$J$1)</f>
        <v/>
      </c>
      <c r="J25" s="11">
        <f>G25*I25</f>
        <v/>
      </c>
    </row>
    <row r="26">
      <c r="A26" s="2" t="n"/>
      <c r="B26" s="10" t="inlineStr">
        <is>
          <t>Vật tư phụ</t>
        </is>
      </c>
      <c r="C26" s="2" t="n"/>
      <c r="D26" s="2" t="n"/>
      <c r="E26" s="2" t="n"/>
      <c r="F26" s="12" t="inlineStr">
        <is>
          <t>Tủ</t>
        </is>
      </c>
      <c r="G26" s="12" t="n">
        <v>1</v>
      </c>
      <c r="H26" s="2" t="n"/>
      <c r="I26" s="11">
        <f>H26*(1-$J$1)</f>
        <v/>
      </c>
      <c r="J26" s="11">
        <f>G26*I26</f>
        <v/>
      </c>
    </row>
    <row r="27">
      <c r="A27" s="2" t="n"/>
      <c r="B27" s="10" t="inlineStr">
        <is>
          <t>Nhân công đấu nối tại xưởng</t>
        </is>
      </c>
      <c r="C27" s="2" t="n"/>
      <c r="D27" s="2" t="n"/>
      <c r="E27" s="2" t="n"/>
      <c r="F27" s="12" t="inlineStr">
        <is>
          <t>Tủ</t>
        </is>
      </c>
      <c r="G27" s="12" t="n">
        <v>1</v>
      </c>
      <c r="H27" s="2" t="n"/>
      <c r="I27" s="11">
        <f>H27*(1-$J$1)</f>
        <v/>
      </c>
      <c r="J27" s="11">
        <f>G27*I27</f>
        <v/>
      </c>
    </row>
    <row r="28">
      <c r="A28" s="13" t="n"/>
      <c r="B28" s="1" t="inlineStr">
        <is>
          <t>Tổng</t>
        </is>
      </c>
      <c r="C28" s="13" t="n"/>
      <c r="D28" s="13" t="n"/>
      <c r="E28" s="13" t="n"/>
      <c r="F28" s="13" t="n"/>
      <c r="G28" s="13" t="n"/>
      <c r="H28" s="13" t="n"/>
      <c r="I28" s="13" t="n"/>
      <c r="J28" s="14">
        <f>J4+J6+J7+J8+J9+J10+J11+J12+J13+J14+J15+J16+J17+J18+J19+J20+J21+J22+J23+J24+J25+J26+J27</f>
        <v/>
      </c>
    </row>
  </sheetData>
  <mergeCells count="1">
    <mergeCell ref="H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25" customWidth="1" min="3" max="3"/>
    <col width="18" customWidth="1" min="4" max="4"/>
    <col width="16" customWidth="1" min="5" max="5"/>
    <col width="10" customWidth="1" min="6" max="6"/>
    <col width="6" customWidth="1" min="7" max="7"/>
    <col width="14" customWidth="1" min="8" max="8"/>
    <col width="14" customWidth="1" min="9" max="9"/>
    <col width="16" customWidth="1" min="10" max="10"/>
  </cols>
  <sheetData>
    <row r="1" ht="16" customHeight="1">
      <c r="H1" s="5" t="inlineStr">
        <is>
          <t>chiết khấu</t>
        </is>
      </c>
      <c r="J1" s="6" t="n">
        <v>0.3</v>
      </c>
    </row>
    <row r="2" ht="28" customHeight="1">
      <c r="A2" s="1" t="inlineStr">
        <is>
          <t>STT</t>
        </is>
      </c>
      <c r="B2" s="1" t="inlineStr">
        <is>
          <t>Tên Thiết Bị : 1AP-SC1 ( Tên này lấy trong bản vẽ)</t>
        </is>
      </c>
      <c r="C2" s="1" t="inlineStr">
        <is>
          <t>Model</t>
        </is>
      </c>
      <c r="D2" s="1" t="inlineStr">
        <is>
          <t>Mã SP</t>
        </is>
      </c>
      <c r="E2" s="1" t="inlineStr">
        <is>
          <t>HÃNG SẢN XUẤT</t>
        </is>
      </c>
      <c r="F2" s="1" t="inlineStr">
        <is>
          <t>Đơn vị</t>
        </is>
      </c>
      <c r="G2" s="1" t="inlineStr">
        <is>
          <t>SL</t>
        </is>
      </c>
      <c r="H2" s="1" t="inlineStr">
        <is>
          <t>Giá gốc</t>
        </is>
      </c>
      <c r="I2" s="1" t="inlineStr">
        <is>
          <t>Giá mua
thực</t>
        </is>
      </c>
      <c r="J2" s="1" t="inlineStr">
        <is>
          <t>Thành tiền</t>
        </is>
      </c>
    </row>
    <row r="3">
      <c r="A3" s="7" t="n"/>
      <c r="B3" s="8" t="inlineStr">
        <is>
          <t>Đầu vào:</t>
        </is>
      </c>
      <c r="C3" s="7" t="n"/>
      <c r="D3" s="7" t="n"/>
      <c r="E3" s="7" t="n"/>
      <c r="F3" s="7" t="n"/>
      <c r="G3" s="7" t="n"/>
      <c r="H3" s="7" t="n"/>
      <c r="I3" s="7" t="n"/>
      <c r="J3" s="7" t="n"/>
    </row>
    <row r="4" ht="18" customHeight="1">
      <c r="A4" s="9" t="n">
        <v>1</v>
      </c>
      <c r="B4" s="10" t="inlineStr">
        <is>
          <t>ABN203c 3P 100A 30kA</t>
        </is>
      </c>
      <c r="C4" s="9" t="inlineStr">
        <is>
          <t>ABN203c 3P 100A 30kA</t>
        </is>
      </c>
      <c r="D4" s="9" t="inlineStr">
        <is>
          <t>ABN203c 3P 100A</t>
        </is>
      </c>
      <c r="E4" s="9" t="inlineStr">
        <is>
          <t>LS</t>
        </is>
      </c>
      <c r="F4" s="9" t="inlineStr">
        <is>
          <t>Cái</t>
        </is>
      </c>
      <c r="G4" s="9" t="n">
        <v>1</v>
      </c>
      <c r="H4" s="11" t="n">
        <v>2860000</v>
      </c>
      <c r="I4" s="11">
        <f>H4*(1-$J$1)</f>
        <v/>
      </c>
      <c r="J4" s="11">
        <f>G4*I4</f>
        <v/>
      </c>
    </row>
    <row r="5">
      <c r="A5" s="7" t="n"/>
      <c r="B5" s="8" t="inlineStr">
        <is>
          <t>Đầu ra: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18" customHeight="1">
      <c r="A6" s="9" t="n">
        <v>2</v>
      </c>
      <c r="B6" s="10" t="inlineStr">
        <is>
          <t>LA63N 1P 10A 6kA</t>
        </is>
      </c>
      <c r="C6" s="9" t="inlineStr">
        <is>
          <t>LA63N 1P 10A 6kA</t>
        </is>
      </c>
      <c r="D6" s="9" t="inlineStr">
        <is>
          <t>LA63N 1P 10A</t>
        </is>
      </c>
      <c r="E6" s="9" t="inlineStr">
        <is>
          <t>LS</t>
        </is>
      </c>
      <c r="F6" s="9" t="inlineStr">
        <is>
          <t>Cái</t>
        </is>
      </c>
      <c r="G6" s="9" t="n">
        <v>20</v>
      </c>
      <c r="H6" s="11" t="n">
        <v>115000</v>
      </c>
      <c r="I6" s="11">
        <f>H6*(1-$J$1)</f>
        <v/>
      </c>
      <c r="J6" s="11">
        <f>G6*I6</f>
        <v/>
      </c>
    </row>
    <row r="7" ht="18" customHeight="1">
      <c r="A7" s="9" t="n">
        <v>3</v>
      </c>
      <c r="B7" s="10" t="inlineStr">
        <is>
          <t>LA63N 1P 16A 6kA</t>
        </is>
      </c>
      <c r="C7" s="9" t="inlineStr">
        <is>
          <t>LA63N 1P 16A 6kA</t>
        </is>
      </c>
      <c r="D7" s="9" t="inlineStr">
        <is>
          <t>LA63N 1P 16A</t>
        </is>
      </c>
      <c r="E7" s="9" t="inlineStr">
        <is>
          <t>LS</t>
        </is>
      </c>
      <c r="F7" s="9" t="inlineStr">
        <is>
          <t>Cái</t>
        </is>
      </c>
      <c r="G7" s="9" t="n">
        <v>10</v>
      </c>
      <c r="H7" s="11" t="n">
        <v>115000</v>
      </c>
      <c r="I7" s="11">
        <f>H7*(1-$J$1)</f>
        <v/>
      </c>
      <c r="J7" s="11">
        <f>G7*I7</f>
        <v/>
      </c>
    </row>
    <row r="8" ht="18" customHeight="1">
      <c r="A8" s="9" t="n">
        <v>4</v>
      </c>
      <c r="B8" s="10" t="inlineStr">
        <is>
          <t>ABN53c 3P 50A 18kA</t>
        </is>
      </c>
      <c r="C8" s="9" t="inlineStr">
        <is>
          <t>ABN53c 3P 50A 18kA</t>
        </is>
      </c>
      <c r="D8" s="9" t="inlineStr">
        <is>
          <t>ABN53c 3P 50A</t>
        </is>
      </c>
      <c r="E8" s="9" t="inlineStr">
        <is>
          <t>LS</t>
        </is>
      </c>
      <c r="F8" s="9" t="inlineStr">
        <is>
          <t>Cái</t>
        </is>
      </c>
      <c r="G8" s="9" t="n">
        <v>2</v>
      </c>
      <c r="H8" s="11" t="n">
        <v>1150000</v>
      </c>
      <c r="I8" s="11">
        <f>H8*(1-$J$1)</f>
        <v/>
      </c>
      <c r="J8" s="11">
        <f>G8*I8</f>
        <v/>
      </c>
    </row>
    <row r="9" ht="18" customHeight="1">
      <c r="A9" s="9" t="n">
        <v>5</v>
      </c>
      <c r="B9" s="10" t="inlineStr">
        <is>
          <t>ABN53c 3P 32A 18kA</t>
        </is>
      </c>
      <c r="C9" s="9" t="inlineStr">
        <is>
          <t>ABN53c 3P 32A 18kA</t>
        </is>
      </c>
      <c r="D9" s="9" t="inlineStr">
        <is>
          <t>ABN53c 3P 32A</t>
        </is>
      </c>
      <c r="E9" s="9" t="inlineStr">
        <is>
          <t>LS</t>
        </is>
      </c>
      <c r="F9" s="9" t="inlineStr">
        <is>
          <t>Cái</t>
        </is>
      </c>
      <c r="G9" s="9" t="n">
        <v>2</v>
      </c>
      <c r="H9" s="11" t="n">
        <v>1150000</v>
      </c>
      <c r="I9" s="11">
        <f>H9*(1-$J$1)</f>
        <v/>
      </c>
      <c r="J9" s="11">
        <f>G9*I9</f>
        <v/>
      </c>
    </row>
    <row r="10">
      <c r="A10" s="2" t="n"/>
      <c r="B10" s="10" t="inlineStr">
        <is>
          <t>Thanh cái đồng</t>
        </is>
      </c>
      <c r="C10" s="2" t="n"/>
      <c r="D10" s="2" t="n"/>
      <c r="E10" s="2" t="n"/>
      <c r="F10" s="12" t="inlineStr">
        <is>
          <t>Tủ</t>
        </is>
      </c>
      <c r="G10" s="12" t="n">
        <v>1</v>
      </c>
      <c r="H10" s="2" t="n"/>
      <c r="I10" s="11">
        <f>H10*(1-$J$1)</f>
        <v/>
      </c>
      <c r="J10" s="11">
        <f>G10*I10</f>
        <v/>
      </c>
    </row>
    <row r="11">
      <c r="A11" s="2" t="n"/>
      <c r="B11" s="10" t="inlineStr">
        <is>
          <t>Vật tư phụ</t>
        </is>
      </c>
      <c r="C11" s="2" t="n"/>
      <c r="D11" s="2" t="n"/>
      <c r="E11" s="2" t="n"/>
      <c r="F11" s="12" t="inlineStr">
        <is>
          <t>Tủ</t>
        </is>
      </c>
      <c r="G11" s="12" t="n">
        <v>1</v>
      </c>
      <c r="H11" s="2" t="n"/>
      <c r="I11" s="11">
        <f>H11*(1-$J$1)</f>
        <v/>
      </c>
      <c r="J11" s="11">
        <f>G11*I11</f>
        <v/>
      </c>
    </row>
    <row r="12">
      <c r="A12" s="2" t="n"/>
      <c r="B12" s="10" t="inlineStr">
        <is>
          <t>Nhân công đấu nối tại xưởng</t>
        </is>
      </c>
      <c r="C12" s="2" t="n"/>
      <c r="D12" s="2" t="n"/>
      <c r="E12" s="2" t="n"/>
      <c r="F12" s="12" t="inlineStr">
        <is>
          <t>Tủ</t>
        </is>
      </c>
      <c r="G12" s="12" t="n">
        <v>1</v>
      </c>
      <c r="H12" s="2" t="n"/>
      <c r="I12" s="11">
        <f>H12*(1-$J$1)</f>
        <v/>
      </c>
      <c r="J12" s="11">
        <f>G12*I12</f>
        <v/>
      </c>
    </row>
    <row r="13">
      <c r="A13" s="13" t="n"/>
      <c r="B13" s="1" t="inlineStr">
        <is>
          <t>Tổng</t>
        </is>
      </c>
      <c r="C13" s="13" t="n"/>
      <c r="D13" s="13" t="n"/>
      <c r="E13" s="13" t="n"/>
      <c r="F13" s="13" t="n"/>
      <c r="G13" s="13" t="n"/>
      <c r="H13" s="13" t="n"/>
      <c r="I13" s="13" t="n"/>
      <c r="J13" s="14">
        <f>J4+J6+J7+J8+J9+J10+J11+J12</f>
        <v/>
      </c>
    </row>
  </sheetData>
  <mergeCells count="1">
    <mergeCell ref="H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25" customWidth="1" min="3" max="3"/>
    <col width="18" customWidth="1" min="4" max="4"/>
    <col width="16" customWidth="1" min="5" max="5"/>
    <col width="10" customWidth="1" min="6" max="6"/>
    <col width="6" customWidth="1" min="7" max="7"/>
    <col width="14" customWidth="1" min="8" max="8"/>
    <col width="14" customWidth="1" min="9" max="9"/>
    <col width="16" customWidth="1" min="10" max="10"/>
  </cols>
  <sheetData>
    <row r="1" ht="16" customHeight="1">
      <c r="H1" s="5" t="inlineStr">
        <is>
          <t>chiết khấu</t>
        </is>
      </c>
      <c r="J1" s="6" t="n">
        <v>0.3</v>
      </c>
    </row>
    <row r="2" ht="28" customHeight="1">
      <c r="A2" s="1" t="inlineStr">
        <is>
          <t>STT</t>
        </is>
      </c>
      <c r="B2" s="1" t="inlineStr">
        <is>
          <t>Tên Thiết Bị : 1AP-SC6 ( Tên này lấy trong bản vẽ)</t>
        </is>
      </c>
      <c r="C2" s="1" t="inlineStr">
        <is>
          <t>Model</t>
        </is>
      </c>
      <c r="D2" s="1" t="inlineStr">
        <is>
          <t>Mã SP</t>
        </is>
      </c>
      <c r="E2" s="1" t="inlineStr">
        <is>
          <t>HÃNG SẢN XUẤT</t>
        </is>
      </c>
      <c r="F2" s="1" t="inlineStr">
        <is>
          <t>Đơn vị</t>
        </is>
      </c>
      <c r="G2" s="1" t="inlineStr">
        <is>
          <t>SL</t>
        </is>
      </c>
      <c r="H2" s="1" t="inlineStr">
        <is>
          <t>Giá gốc</t>
        </is>
      </c>
      <c r="I2" s="1" t="inlineStr">
        <is>
          <t>Giá mua
thực</t>
        </is>
      </c>
      <c r="J2" s="1" t="inlineStr">
        <is>
          <t>Thành tiền</t>
        </is>
      </c>
    </row>
    <row r="3">
      <c r="A3" s="7" t="n"/>
      <c r="B3" s="8" t="inlineStr">
        <is>
          <t>Đầu vào:</t>
        </is>
      </c>
      <c r="C3" s="7" t="n"/>
      <c r="D3" s="7" t="n"/>
      <c r="E3" s="7" t="n"/>
      <c r="F3" s="7" t="n"/>
      <c r="G3" s="7" t="n"/>
      <c r="H3" s="7" t="n"/>
      <c r="I3" s="7" t="n"/>
      <c r="J3" s="7" t="n"/>
    </row>
    <row r="4" ht="18" customHeight="1">
      <c r="A4" s="9" t="n">
        <v>1</v>
      </c>
      <c r="B4" s="10" t="inlineStr">
        <is>
          <t>ABN203c 3P 100A 30kA</t>
        </is>
      </c>
      <c r="C4" s="9" t="inlineStr">
        <is>
          <t>ABN203c 3P 100A 30kA</t>
        </is>
      </c>
      <c r="D4" s="9" t="inlineStr">
        <is>
          <t>ABN203c 3P 100A</t>
        </is>
      </c>
      <c r="E4" s="9" t="inlineStr">
        <is>
          <t>LS</t>
        </is>
      </c>
      <c r="F4" s="9" t="inlineStr">
        <is>
          <t>Cái</t>
        </is>
      </c>
      <c r="G4" s="9" t="n">
        <v>1</v>
      </c>
      <c r="H4" s="11" t="n">
        <v>2860000</v>
      </c>
      <c r="I4" s="11">
        <f>H4*(1-$J$1)</f>
        <v/>
      </c>
      <c r="J4" s="11">
        <f>G4*I4</f>
        <v/>
      </c>
    </row>
    <row r="5">
      <c r="A5" s="7" t="n"/>
      <c r="B5" s="8" t="inlineStr">
        <is>
          <t>Đầu ra: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18" customHeight="1">
      <c r="A6" s="9" t="n">
        <v>2</v>
      </c>
      <c r="B6" s="10" t="inlineStr">
        <is>
          <t>LA63N 1P 10A 6kA</t>
        </is>
      </c>
      <c r="C6" s="9" t="inlineStr">
        <is>
          <t>LA63N 1P 10A 6kA</t>
        </is>
      </c>
      <c r="D6" s="9" t="inlineStr">
        <is>
          <t>LA63N 1P 10A</t>
        </is>
      </c>
      <c r="E6" s="9" t="inlineStr">
        <is>
          <t>LS</t>
        </is>
      </c>
      <c r="F6" s="9" t="inlineStr">
        <is>
          <t>Cái</t>
        </is>
      </c>
      <c r="G6" s="9" t="n">
        <v>48</v>
      </c>
      <c r="H6" s="11" t="n">
        <v>115000</v>
      </c>
      <c r="I6" s="11">
        <f>H6*(1-$J$1)</f>
        <v/>
      </c>
      <c r="J6" s="11">
        <f>G6*I6</f>
        <v/>
      </c>
    </row>
    <row r="7">
      <c r="A7" s="2" t="n"/>
      <c r="B7" s="10" t="inlineStr">
        <is>
          <t>Thanh cái đồng</t>
        </is>
      </c>
      <c r="C7" s="2" t="n"/>
      <c r="D7" s="2" t="n"/>
      <c r="E7" s="2" t="n"/>
      <c r="F7" s="12" t="inlineStr">
        <is>
          <t>Tủ</t>
        </is>
      </c>
      <c r="G7" s="12" t="n">
        <v>1</v>
      </c>
      <c r="H7" s="2" t="n"/>
      <c r="I7" s="11">
        <f>H7*(1-$J$1)</f>
        <v/>
      </c>
      <c r="J7" s="11">
        <f>G7*I7</f>
        <v/>
      </c>
    </row>
    <row r="8">
      <c r="A8" s="2" t="n"/>
      <c r="B8" s="10" t="inlineStr">
        <is>
          <t>Vật tư phụ</t>
        </is>
      </c>
      <c r="C8" s="2" t="n"/>
      <c r="D8" s="2" t="n"/>
      <c r="E8" s="2" t="n"/>
      <c r="F8" s="12" t="inlineStr">
        <is>
          <t>Tủ</t>
        </is>
      </c>
      <c r="G8" s="12" t="n">
        <v>1</v>
      </c>
      <c r="H8" s="2" t="n"/>
      <c r="I8" s="11">
        <f>H8*(1-$J$1)</f>
        <v/>
      </c>
      <c r="J8" s="11">
        <f>G8*I8</f>
        <v/>
      </c>
    </row>
    <row r="9">
      <c r="A9" s="2" t="n"/>
      <c r="B9" s="10" t="inlineStr">
        <is>
          <t>Nhân công đấu nối tại xưởng</t>
        </is>
      </c>
      <c r="C9" s="2" t="n"/>
      <c r="D9" s="2" t="n"/>
      <c r="E9" s="2" t="n"/>
      <c r="F9" s="12" t="inlineStr">
        <is>
          <t>Tủ</t>
        </is>
      </c>
      <c r="G9" s="12" t="n">
        <v>1</v>
      </c>
      <c r="H9" s="2" t="n"/>
      <c r="I9" s="11">
        <f>H9*(1-$J$1)</f>
        <v/>
      </c>
      <c r="J9" s="11">
        <f>G9*I9</f>
        <v/>
      </c>
    </row>
    <row r="10">
      <c r="A10" s="13" t="n"/>
      <c r="B10" s="1" t="inlineStr">
        <is>
          <t>Tổng</t>
        </is>
      </c>
      <c r="C10" s="13" t="n"/>
      <c r="D10" s="13" t="n"/>
      <c r="E10" s="13" t="n"/>
      <c r="F10" s="13" t="n"/>
      <c r="G10" s="13" t="n"/>
      <c r="H10" s="13" t="n"/>
      <c r="I10" s="13" t="n"/>
      <c r="J10" s="14">
        <f>J4+J6+J7+J8+J9</f>
        <v/>
      </c>
    </row>
  </sheetData>
  <mergeCells count="1">
    <mergeCell ref="H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25" customWidth="1" min="3" max="3"/>
    <col width="18" customWidth="1" min="4" max="4"/>
    <col width="16" customWidth="1" min="5" max="5"/>
    <col width="10" customWidth="1" min="6" max="6"/>
    <col width="6" customWidth="1" min="7" max="7"/>
    <col width="14" customWidth="1" min="8" max="8"/>
    <col width="14" customWidth="1" min="9" max="9"/>
    <col width="16" customWidth="1" min="10" max="10"/>
  </cols>
  <sheetData>
    <row r="1" ht="16" customHeight="1">
      <c r="H1" s="5" t="inlineStr">
        <is>
          <t>chiết khấu</t>
        </is>
      </c>
      <c r="J1" s="6" t="n">
        <v>0.3</v>
      </c>
    </row>
    <row r="2" ht="28" customHeight="1">
      <c r="A2" s="1" t="inlineStr">
        <is>
          <t>STT</t>
        </is>
      </c>
      <c r="B2" s="1" t="inlineStr">
        <is>
          <t>Tên Thiết Bị : 1AP-SC5 ( Tên này lấy trong bản vẽ)</t>
        </is>
      </c>
      <c r="C2" s="1" t="inlineStr">
        <is>
          <t>Model</t>
        </is>
      </c>
      <c r="D2" s="1" t="inlineStr">
        <is>
          <t>Mã SP</t>
        </is>
      </c>
      <c r="E2" s="1" t="inlineStr">
        <is>
          <t>HÃNG SẢN XUẤT</t>
        </is>
      </c>
      <c r="F2" s="1" t="inlineStr">
        <is>
          <t>Đơn vị</t>
        </is>
      </c>
      <c r="G2" s="1" t="inlineStr">
        <is>
          <t>SL</t>
        </is>
      </c>
      <c r="H2" s="1" t="inlineStr">
        <is>
          <t>Giá gốc</t>
        </is>
      </c>
      <c r="I2" s="1" t="inlineStr">
        <is>
          <t>Giá mua
thực</t>
        </is>
      </c>
      <c r="J2" s="1" t="inlineStr">
        <is>
          <t>Thành tiền</t>
        </is>
      </c>
    </row>
    <row r="3">
      <c r="A3" s="7" t="n"/>
      <c r="B3" s="8" t="inlineStr">
        <is>
          <t>Đầu vào:</t>
        </is>
      </c>
      <c r="C3" s="7" t="n"/>
      <c r="D3" s="7" t="n"/>
      <c r="E3" s="7" t="n"/>
      <c r="F3" s="7" t="n"/>
      <c r="G3" s="7" t="n"/>
      <c r="H3" s="7" t="n"/>
      <c r="I3" s="7" t="n"/>
      <c r="J3" s="7" t="n"/>
    </row>
    <row r="4" ht="18" customHeight="1">
      <c r="A4" s="9" t="n">
        <v>1</v>
      </c>
      <c r="B4" s="10" t="inlineStr">
        <is>
          <t>ABN203c 3P 100A 30kA</t>
        </is>
      </c>
      <c r="C4" s="9" t="inlineStr">
        <is>
          <t>ABN203c 3P 100A 30kA</t>
        </is>
      </c>
      <c r="D4" s="9" t="inlineStr">
        <is>
          <t>ABN203c 3P 100A</t>
        </is>
      </c>
      <c r="E4" s="9" t="inlineStr">
        <is>
          <t>LS</t>
        </is>
      </c>
      <c r="F4" s="9" t="inlineStr">
        <is>
          <t>Cái</t>
        </is>
      </c>
      <c r="G4" s="9" t="n">
        <v>1</v>
      </c>
      <c r="H4" s="11" t="n">
        <v>2860000</v>
      </c>
      <c r="I4" s="11">
        <f>H4*(1-$J$1)</f>
        <v/>
      </c>
      <c r="J4" s="11">
        <f>G4*I4</f>
        <v/>
      </c>
    </row>
    <row r="5">
      <c r="A5" s="7" t="n"/>
      <c r="B5" s="8" t="inlineStr">
        <is>
          <t>Đầu ra: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18" customHeight="1">
      <c r="A6" s="9" t="n">
        <v>2</v>
      </c>
      <c r="B6" s="10" t="inlineStr">
        <is>
          <t>LA63H 3P 16A 10kA</t>
        </is>
      </c>
      <c r="C6" s="9" t="inlineStr">
        <is>
          <t>LA63H 3P 16A 10kA</t>
        </is>
      </c>
      <c r="D6" s="9" t="inlineStr">
        <is>
          <t>LA63H 3P 16A</t>
        </is>
      </c>
      <c r="E6" s="9" t="inlineStr">
        <is>
          <t>LS</t>
        </is>
      </c>
      <c r="F6" s="9" t="inlineStr">
        <is>
          <t>Cái</t>
        </is>
      </c>
      <c r="G6" s="9" t="n">
        <v>20</v>
      </c>
      <c r="H6" s="11" t="n">
        <v>576000</v>
      </c>
      <c r="I6" s="11">
        <f>H6*(1-$J$1)</f>
        <v/>
      </c>
      <c r="J6" s="11">
        <f>G6*I6</f>
        <v/>
      </c>
    </row>
    <row r="7">
      <c r="A7" s="2" t="n"/>
      <c r="B7" s="10" t="inlineStr">
        <is>
          <t>Thanh cái đồng</t>
        </is>
      </c>
      <c r="C7" s="2" t="n"/>
      <c r="D7" s="2" t="n"/>
      <c r="E7" s="2" t="n"/>
      <c r="F7" s="12" t="inlineStr">
        <is>
          <t>Tủ</t>
        </is>
      </c>
      <c r="G7" s="12" t="n">
        <v>1</v>
      </c>
      <c r="H7" s="2" t="n"/>
      <c r="I7" s="11">
        <f>H7*(1-$J$1)</f>
        <v/>
      </c>
      <c r="J7" s="11">
        <f>G7*I7</f>
        <v/>
      </c>
    </row>
    <row r="8">
      <c r="A8" s="2" t="n"/>
      <c r="B8" s="10" t="inlineStr">
        <is>
          <t>Vật tư phụ</t>
        </is>
      </c>
      <c r="C8" s="2" t="n"/>
      <c r="D8" s="2" t="n"/>
      <c r="E8" s="2" t="n"/>
      <c r="F8" s="12" t="inlineStr">
        <is>
          <t>Tủ</t>
        </is>
      </c>
      <c r="G8" s="12" t="n">
        <v>1</v>
      </c>
      <c r="H8" s="2" t="n"/>
      <c r="I8" s="11">
        <f>H8*(1-$J$1)</f>
        <v/>
      </c>
      <c r="J8" s="11">
        <f>G8*I8</f>
        <v/>
      </c>
    </row>
    <row r="9">
      <c r="A9" s="2" t="n"/>
      <c r="B9" s="10" t="inlineStr">
        <is>
          <t>Nhân công đấu nối tại xưởng</t>
        </is>
      </c>
      <c r="C9" s="2" t="n"/>
      <c r="D9" s="2" t="n"/>
      <c r="E9" s="2" t="n"/>
      <c r="F9" s="12" t="inlineStr">
        <is>
          <t>Tủ</t>
        </is>
      </c>
      <c r="G9" s="12" t="n">
        <v>1</v>
      </c>
      <c r="H9" s="2" t="n"/>
      <c r="I9" s="11">
        <f>H9*(1-$J$1)</f>
        <v/>
      </c>
      <c r="J9" s="11">
        <f>G9*I9</f>
        <v/>
      </c>
    </row>
    <row r="10">
      <c r="A10" s="13" t="n"/>
      <c r="B10" s="1" t="inlineStr">
        <is>
          <t>Tổng</t>
        </is>
      </c>
      <c r="C10" s="13" t="n"/>
      <c r="D10" s="13" t="n"/>
      <c r="E10" s="13" t="n"/>
      <c r="F10" s="13" t="n"/>
      <c r="G10" s="13" t="n"/>
      <c r="H10" s="13" t="n"/>
      <c r="I10" s="13" t="n"/>
      <c r="J10" s="14">
        <f>J4+J6+J7+J8+J9</f>
        <v/>
      </c>
    </row>
  </sheetData>
  <mergeCells count="1">
    <mergeCell ref="H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25" customWidth="1" min="3" max="3"/>
    <col width="18" customWidth="1" min="4" max="4"/>
    <col width="16" customWidth="1" min="5" max="5"/>
    <col width="10" customWidth="1" min="6" max="6"/>
    <col width="6" customWidth="1" min="7" max="7"/>
    <col width="14" customWidth="1" min="8" max="8"/>
    <col width="14" customWidth="1" min="9" max="9"/>
    <col width="16" customWidth="1" min="10" max="10"/>
  </cols>
  <sheetData>
    <row r="1" ht="16" customHeight="1">
      <c r="H1" s="5" t="inlineStr">
        <is>
          <t>chiết khấu</t>
        </is>
      </c>
      <c r="J1" s="6" t="n">
        <v>0.3</v>
      </c>
    </row>
    <row r="2" ht="28" customHeight="1">
      <c r="A2" s="1" t="inlineStr">
        <is>
          <t>STT</t>
        </is>
      </c>
      <c r="B2" s="1" t="inlineStr">
        <is>
          <t>Tên Thiết Bị : 2AP-SC1 ( Tên này lấy trong bản vẽ)</t>
        </is>
      </c>
      <c r="C2" s="1" t="inlineStr">
        <is>
          <t>Model</t>
        </is>
      </c>
      <c r="D2" s="1" t="inlineStr">
        <is>
          <t>Mã SP</t>
        </is>
      </c>
      <c r="E2" s="1" t="inlineStr">
        <is>
          <t>HÃNG SẢN XUẤT</t>
        </is>
      </c>
      <c r="F2" s="1" t="inlineStr">
        <is>
          <t>Đơn vị</t>
        </is>
      </c>
      <c r="G2" s="1" t="inlineStr">
        <is>
          <t>SL</t>
        </is>
      </c>
      <c r="H2" s="1" t="inlineStr">
        <is>
          <t>Giá gốc</t>
        </is>
      </c>
      <c r="I2" s="1" t="inlineStr">
        <is>
          <t>Giá mua
thực</t>
        </is>
      </c>
      <c r="J2" s="1" t="inlineStr">
        <is>
          <t>Thành tiền</t>
        </is>
      </c>
    </row>
    <row r="3">
      <c r="A3" s="7" t="n"/>
      <c r="B3" s="8" t="inlineStr">
        <is>
          <t>Đầu vào:</t>
        </is>
      </c>
      <c r="C3" s="7" t="n"/>
      <c r="D3" s="7" t="n"/>
      <c r="E3" s="7" t="n"/>
      <c r="F3" s="7" t="n"/>
      <c r="G3" s="7" t="n"/>
      <c r="H3" s="7" t="n"/>
      <c r="I3" s="7" t="n"/>
      <c r="J3" s="7" t="n"/>
    </row>
    <row r="4" ht="18" customHeight="1">
      <c r="A4" s="9" t="n">
        <v>1</v>
      </c>
      <c r="B4" s="10" t="inlineStr">
        <is>
          <t>ABN203c 3P 100A 30kA</t>
        </is>
      </c>
      <c r="C4" s="9" t="inlineStr">
        <is>
          <t>ABN203c 3P 100A 30kA</t>
        </is>
      </c>
      <c r="D4" s="9" t="inlineStr">
        <is>
          <t>ABN203c 3P 100A</t>
        </is>
      </c>
      <c r="E4" s="9" t="inlineStr">
        <is>
          <t>LS</t>
        </is>
      </c>
      <c r="F4" s="9" t="inlineStr">
        <is>
          <t>Cái</t>
        </is>
      </c>
      <c r="G4" s="9" t="n">
        <v>1</v>
      </c>
      <c r="H4" s="11" t="n">
        <v>2860000</v>
      </c>
      <c r="I4" s="11">
        <f>H4*(1-$J$1)</f>
        <v/>
      </c>
      <c r="J4" s="11">
        <f>G4*I4</f>
        <v/>
      </c>
    </row>
    <row r="5">
      <c r="A5" s="7" t="n"/>
      <c r="B5" s="8" t="inlineStr">
        <is>
          <t>Đầu ra: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18" customHeight="1">
      <c r="A6" s="9" t="n">
        <v>2</v>
      </c>
      <c r="B6" s="10" t="inlineStr">
        <is>
          <t>LA63H 3P 16A 10kA</t>
        </is>
      </c>
      <c r="C6" s="9" t="inlineStr">
        <is>
          <t>LA63H 3P 16A 10kA</t>
        </is>
      </c>
      <c r="D6" s="9" t="inlineStr">
        <is>
          <t>LA63H 3P 16A</t>
        </is>
      </c>
      <c r="E6" s="9" t="inlineStr">
        <is>
          <t>LS</t>
        </is>
      </c>
      <c r="F6" s="9" t="inlineStr">
        <is>
          <t>Cái</t>
        </is>
      </c>
      <c r="G6" s="9" t="n">
        <v>20</v>
      </c>
      <c r="H6" s="11" t="n">
        <v>576000</v>
      </c>
      <c r="I6" s="11">
        <f>H6*(1-$J$1)</f>
        <v/>
      </c>
      <c r="J6" s="11">
        <f>G6*I6</f>
        <v/>
      </c>
    </row>
    <row r="7" ht="18" customHeight="1">
      <c r="A7" s="9" t="n">
        <v>3</v>
      </c>
      <c r="B7" s="10" t="inlineStr">
        <is>
          <t>SPD 3P A</t>
        </is>
      </c>
      <c r="C7" s="9" t="inlineStr"/>
      <c r="D7" s="9" t="inlineStr"/>
      <c r="E7" s="9" t="inlineStr"/>
      <c r="F7" s="9" t="inlineStr">
        <is>
          <t>Cái</t>
        </is>
      </c>
      <c r="G7" s="9" t="n">
        <v>1</v>
      </c>
      <c r="H7" s="11" t="n"/>
      <c r="I7" s="11">
        <f>H7*(1-$J$1)</f>
        <v/>
      </c>
      <c r="J7" s="11">
        <f>G7*I7</f>
        <v/>
      </c>
    </row>
    <row r="8">
      <c r="A8" s="2" t="n"/>
      <c r="B8" s="10" t="inlineStr">
        <is>
          <t>Thanh cái đồng</t>
        </is>
      </c>
      <c r="C8" s="2" t="n"/>
      <c r="D8" s="2" t="n"/>
      <c r="E8" s="2" t="n"/>
      <c r="F8" s="12" t="inlineStr">
        <is>
          <t>Tủ</t>
        </is>
      </c>
      <c r="G8" s="12" t="n">
        <v>1</v>
      </c>
      <c r="H8" s="2" t="n"/>
      <c r="I8" s="11">
        <f>H8*(1-$J$1)</f>
        <v/>
      </c>
      <c r="J8" s="11">
        <f>G8*I8</f>
        <v/>
      </c>
    </row>
    <row r="9">
      <c r="A9" s="2" t="n"/>
      <c r="B9" s="10" t="inlineStr">
        <is>
          <t>Vật tư phụ</t>
        </is>
      </c>
      <c r="C9" s="2" t="n"/>
      <c r="D9" s="2" t="n"/>
      <c r="E9" s="2" t="n"/>
      <c r="F9" s="12" t="inlineStr">
        <is>
          <t>Tủ</t>
        </is>
      </c>
      <c r="G9" s="12" t="n">
        <v>1</v>
      </c>
      <c r="H9" s="2" t="n"/>
      <c r="I9" s="11">
        <f>H9*(1-$J$1)</f>
        <v/>
      </c>
      <c r="J9" s="11">
        <f>G9*I9</f>
        <v/>
      </c>
    </row>
    <row r="10">
      <c r="A10" s="2" t="n"/>
      <c r="B10" s="10" t="inlineStr">
        <is>
          <t>Nhân công đấu nối tại xưởng</t>
        </is>
      </c>
      <c r="C10" s="2" t="n"/>
      <c r="D10" s="2" t="n"/>
      <c r="E10" s="2" t="n"/>
      <c r="F10" s="12" t="inlineStr">
        <is>
          <t>Tủ</t>
        </is>
      </c>
      <c r="G10" s="12" t="n">
        <v>1</v>
      </c>
      <c r="H10" s="2" t="n"/>
      <c r="I10" s="11">
        <f>H10*(1-$J$1)</f>
        <v/>
      </c>
      <c r="J10" s="11">
        <f>G10*I10</f>
        <v/>
      </c>
    </row>
    <row r="11">
      <c r="A11" s="13" t="n"/>
      <c r="B11" s="1" t="inlineStr">
        <is>
          <t>Tổng</t>
        </is>
      </c>
      <c r="C11" s="13" t="n"/>
      <c r="D11" s="13" t="n"/>
      <c r="E11" s="13" t="n"/>
      <c r="F11" s="13" t="n"/>
      <c r="G11" s="13" t="n"/>
      <c r="H11" s="13" t="n"/>
      <c r="I11" s="13" t="n"/>
      <c r="J11" s="14">
        <f>J4+J6+J7+J8+J9+J10</f>
        <v/>
      </c>
    </row>
  </sheetData>
  <mergeCells count="1"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2026-06-01T05:08:30Z</dcterms:created>
  <dcterms:modified xsi:type="dcterms:W3CDTF">2026-06-01T05:08:30Z</dcterms:modified>
</cp:coreProperties>
</file>