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ảng Kê Vật T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C00000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9" fontId="2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2" borderId="1" pivotButton="0" quotePrefix="0" xfId="0"/>
    <xf numFmtId="3" fontId="1" fillId="2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25" customWidth="1" min="3" max="3"/>
    <col width="18" customWidth="1" min="4" max="4"/>
    <col width="16" customWidth="1" min="5" max="5"/>
    <col width="10" customWidth="1" min="6" max="6"/>
    <col width="6" customWidth="1" min="7" max="7"/>
    <col width="14" customWidth="1" min="8" max="8"/>
    <col width="14" customWidth="1" min="9" max="9"/>
    <col width="16" customWidth="1" min="10" max="10"/>
  </cols>
  <sheetData>
    <row r="1" ht="16" customHeight="1">
      <c r="H1" s="1" t="inlineStr">
        <is>
          <t>chiết khấu</t>
        </is>
      </c>
      <c r="J1" s="2" t="n">
        <v>0.3</v>
      </c>
    </row>
    <row r="2" ht="28" customHeight="1">
      <c r="A2" s="3" t="inlineStr">
        <is>
          <t>STT</t>
        </is>
      </c>
      <c r="B2" s="3" t="inlineStr">
        <is>
          <t>Tên Thiết Bị : 1 soi-4 ( Tên này lấy trong bản vẽ)</t>
        </is>
      </c>
      <c r="C2" s="3" t="inlineStr">
        <is>
          <t>Model</t>
        </is>
      </c>
      <c r="D2" s="3" t="inlineStr">
        <is>
          <t>Mã SP</t>
        </is>
      </c>
      <c r="E2" s="3" t="inlineStr">
        <is>
          <t>HÃNG SẢN XUẤT</t>
        </is>
      </c>
      <c r="F2" s="3" t="inlineStr">
        <is>
          <t>Đơn vị</t>
        </is>
      </c>
      <c r="G2" s="3" t="inlineStr">
        <is>
          <t>SL</t>
        </is>
      </c>
      <c r="H2" s="3" t="inlineStr">
        <is>
          <t>Giá gốc</t>
        </is>
      </c>
      <c r="I2" s="3" t="inlineStr">
        <is>
          <t>Giá mua
thực</t>
        </is>
      </c>
      <c r="J2" s="3" t="inlineStr">
        <is>
          <t>Thành tiền</t>
        </is>
      </c>
    </row>
    <row r="3">
      <c r="A3" s="4" t="n"/>
      <c r="B3" s="5" t="inlineStr">
        <is>
          <t>Đầu vào:</t>
        </is>
      </c>
      <c r="C3" s="4" t="n"/>
      <c r="D3" s="4" t="n"/>
      <c r="E3" s="4" t="n"/>
      <c r="F3" s="4" t="n"/>
      <c r="G3" s="4" t="n"/>
      <c r="H3" s="4" t="n"/>
      <c r="I3" s="4" t="n"/>
      <c r="J3" s="4" t="n"/>
    </row>
    <row r="4" ht="18" customHeight="1">
      <c r="A4" s="6" t="n">
        <v>1</v>
      </c>
      <c r="B4" s="7" t="inlineStr">
        <is>
          <t>ABN803c 3P 500A 45kA</t>
        </is>
      </c>
      <c r="C4" s="6" t="inlineStr">
        <is>
          <t>ABN803c 3P 500A 45kA</t>
        </is>
      </c>
      <c r="D4" s="6" t="inlineStr">
        <is>
          <t>ABN803c 3P 500A</t>
        </is>
      </c>
      <c r="E4" s="6" t="inlineStr">
        <is>
          <t>LS</t>
        </is>
      </c>
      <c r="F4" s="6" t="inlineStr">
        <is>
          <t>Cái</t>
        </is>
      </c>
      <c r="G4" s="6" t="n">
        <v>1</v>
      </c>
      <c r="H4" s="8" t="n">
        <v>13700000</v>
      </c>
      <c r="I4" s="8">
        <f>IFERROR(H4*(1-$J$1),0)</f>
        <v/>
      </c>
      <c r="J4" s="8">
        <f>IFERROR(G4*I4,0)</f>
        <v/>
      </c>
    </row>
    <row r="5">
      <c r="A5" s="4" t="n"/>
      <c r="B5" s="5" t="inlineStr">
        <is>
          <t>Đầu ra:</t>
        </is>
      </c>
      <c r="C5" s="4" t="n"/>
      <c r="D5" s="4" t="n"/>
      <c r="E5" s="4" t="n"/>
      <c r="F5" s="4" t="n"/>
      <c r="G5" s="4" t="n"/>
      <c r="H5" s="4" t="n"/>
      <c r="I5" s="4" t="n"/>
      <c r="J5" s="4" t="n"/>
    </row>
    <row r="6" ht="18" customHeight="1">
      <c r="A6" s="6" t="n">
        <v>2</v>
      </c>
      <c r="B6" s="7" t="inlineStr">
        <is>
          <t>ABN203c 3P 125A 30kA</t>
        </is>
      </c>
      <c r="C6" s="6" t="inlineStr">
        <is>
          <t>ABN203c 3P 125A 30kA</t>
        </is>
      </c>
      <c r="D6" s="6" t="inlineStr">
        <is>
          <t>ABN203c 3P 125A</t>
        </is>
      </c>
      <c r="E6" s="6" t="inlineStr">
        <is>
          <t>LS</t>
        </is>
      </c>
      <c r="F6" s="6" t="inlineStr">
        <is>
          <t>Cái</t>
        </is>
      </c>
      <c r="G6" s="6" t="n">
        <v>1</v>
      </c>
      <c r="H6" s="8" t="n">
        <v>2860000</v>
      </c>
      <c r="I6" s="8">
        <f>IFERROR(H6*(1-$J$1),0)</f>
        <v/>
      </c>
      <c r="J6" s="8">
        <f>IFERROR(G6*I6,0)</f>
        <v/>
      </c>
    </row>
    <row r="7" ht="18" customHeight="1">
      <c r="A7" s="6" t="n">
        <v>3</v>
      </c>
      <c r="B7" s="7" t="inlineStr">
        <is>
          <t>ABN402c 3P 400A 50kA</t>
        </is>
      </c>
      <c r="C7" s="6" t="inlineStr">
        <is>
          <t>ABN402c 3P 400A 50kA</t>
        </is>
      </c>
      <c r="D7" s="6" t="inlineStr">
        <is>
          <t>ABN402c 3P 400A</t>
        </is>
      </c>
      <c r="E7" s="6" t="inlineStr">
        <is>
          <t>LS</t>
        </is>
      </c>
      <c r="F7" s="6" t="inlineStr">
        <is>
          <t>Cái</t>
        </is>
      </c>
      <c r="G7" s="6" t="n">
        <v>1</v>
      </c>
      <c r="H7" s="8" t="n">
        <v>5800000</v>
      </c>
      <c r="I7" s="8">
        <f>IFERROR(H7*(1-$J$1),0)</f>
        <v/>
      </c>
      <c r="J7" s="8">
        <f>IFERROR(G7*I7,0)</f>
        <v/>
      </c>
    </row>
    <row r="8" ht="18" customHeight="1">
      <c r="A8" s="6" t="n">
        <v>4</v>
      </c>
      <c r="B8" s="7" t="inlineStr">
        <is>
          <t>ABN103c 3P 100A 22kA</t>
        </is>
      </c>
      <c r="C8" s="6" t="inlineStr">
        <is>
          <t>ABN103c 3P 100A 22kA</t>
        </is>
      </c>
      <c r="D8" s="6" t="inlineStr">
        <is>
          <t>ABN103c 3P 100A</t>
        </is>
      </c>
      <c r="E8" s="6" t="inlineStr">
        <is>
          <t>LS</t>
        </is>
      </c>
      <c r="F8" s="6" t="inlineStr">
        <is>
          <t>Cái</t>
        </is>
      </c>
      <c r="G8" s="6" t="n">
        <v>1</v>
      </c>
      <c r="H8" s="8" t="n">
        <v>1500000</v>
      </c>
      <c r="I8" s="8">
        <f>IFERROR(H8*(1-$J$1),0)</f>
        <v/>
      </c>
      <c r="J8" s="8">
        <f>IFERROR(G8*I8,0)</f>
        <v/>
      </c>
    </row>
    <row r="9">
      <c r="A9" s="9" t="n"/>
      <c r="B9" s="7" t="inlineStr">
        <is>
          <t>Thanh cái đồng</t>
        </is>
      </c>
      <c r="C9" s="9" t="n"/>
      <c r="D9" s="9" t="n"/>
      <c r="E9" s="9" t="n"/>
      <c r="F9" s="10" t="inlineStr">
        <is>
          <t>Tủ</t>
        </is>
      </c>
      <c r="G9" s="10" t="n">
        <v>1</v>
      </c>
      <c r="H9" s="9" t="n"/>
      <c r="I9" s="8">
        <f>H9*(1-$J$1)</f>
        <v/>
      </c>
      <c r="J9" s="8">
        <f>G9*I9</f>
        <v/>
      </c>
    </row>
    <row r="10">
      <c r="A10" s="9" t="n"/>
      <c r="B10" s="7" t="inlineStr">
        <is>
          <t>Vật tư phụ</t>
        </is>
      </c>
      <c r="C10" s="9" t="n"/>
      <c r="D10" s="9" t="n"/>
      <c r="E10" s="9" t="n"/>
      <c r="F10" s="10" t="inlineStr">
        <is>
          <t>Tủ</t>
        </is>
      </c>
      <c r="G10" s="10" t="n">
        <v>1</v>
      </c>
      <c r="H10" s="9" t="n"/>
      <c r="I10" s="8">
        <f>H10*(1-$J$1)</f>
        <v/>
      </c>
      <c r="J10" s="8">
        <f>G10*I10</f>
        <v/>
      </c>
    </row>
    <row r="11">
      <c r="A11" s="9" t="n"/>
      <c r="B11" s="7" t="inlineStr">
        <is>
          <t>Nhân công đấu nối tại xưởng</t>
        </is>
      </c>
      <c r="C11" s="9" t="n"/>
      <c r="D11" s="9" t="n"/>
      <c r="E11" s="9" t="n"/>
      <c r="F11" s="10" t="inlineStr">
        <is>
          <t>Tủ</t>
        </is>
      </c>
      <c r="G11" s="10" t="n">
        <v>1</v>
      </c>
      <c r="H11" s="9" t="n"/>
      <c r="I11" s="8">
        <f>H11*(1-$J$1)</f>
        <v/>
      </c>
      <c r="J11" s="8">
        <f>G11*I11</f>
        <v/>
      </c>
    </row>
    <row r="12">
      <c r="A12" s="11" t="n"/>
      <c r="B12" s="3" t="inlineStr">
        <is>
          <t>Tổng</t>
        </is>
      </c>
      <c r="C12" s="11" t="n"/>
      <c r="D12" s="11" t="n"/>
      <c r="E12" s="11" t="n"/>
      <c r="F12" s="11" t="n"/>
      <c r="G12" s="11" t="n"/>
      <c r="H12" s="11" t="n"/>
      <c r="I12" s="11" t="n"/>
      <c r="J12" s="12">
        <f>J4+J6+J7+J8+J9+J10+J11</f>
        <v/>
      </c>
    </row>
  </sheetData>
  <mergeCells count="1">
    <mergeCell ref="H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2026-06-01T15:49:48Z</dcterms:created>
  <dcterms:modified xsi:type="dcterms:W3CDTF">2026-06-01T15:49:48Z</dcterms:modified>
</cp:coreProperties>
</file>